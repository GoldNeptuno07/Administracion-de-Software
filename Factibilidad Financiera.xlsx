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ngelcruz/Downloads/Administracion Clase/"/>
    </mc:Choice>
  </mc:AlternateContent>
  <xr:revisionPtr revIDLastSave="0" documentId="8_{5866BC81-787A-EC4E-9185-2C33735E4033}" xr6:coauthVersionLast="47" xr6:coauthVersionMax="47" xr10:uidLastSave="{00000000-0000-0000-0000-000000000000}"/>
  <bookViews>
    <workbookView xWindow="2040" yWindow="660" windowWidth="25220" windowHeight="18460" xr2:uid="{00000000-000D-0000-FFFF-FFFF00000000}"/>
  </bookViews>
  <sheets>
    <sheet name="DatosParaEvaluacion" sheetId="2" r:id="rId1"/>
    <sheet name="Factibilidad Económic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D25" i="2"/>
  <c r="D24" i="2"/>
  <c r="D23" i="2"/>
  <c r="D22" i="2"/>
  <c r="D19" i="2"/>
  <c r="D18" i="2"/>
  <c r="D17" i="2"/>
  <c r="D16" i="2"/>
  <c r="D15" i="2"/>
  <c r="D7" i="2"/>
  <c r="D8" i="2"/>
  <c r="D9" i="2"/>
  <c r="D10" i="2"/>
  <c r="D11" i="2"/>
  <c r="D12" i="2"/>
  <c r="D6" i="2"/>
  <c r="C19" i="2"/>
  <c r="B4" i="1"/>
  <c r="C12" i="2"/>
  <c r="B3" i="1" s="1"/>
  <c r="B8" i="1"/>
  <c r="C26" i="2"/>
  <c r="B5" i="1"/>
  <c r="B6" i="1"/>
  <c r="B7" i="1"/>
</calcChain>
</file>

<file path=xl/sharedStrings.xml><?xml version="1.0" encoding="utf-8"?>
<sst xmlns="http://schemas.openxmlformats.org/spreadsheetml/2006/main" count="42" uniqueCount="36">
  <si>
    <t>Concepto</t>
  </si>
  <si>
    <t>Inversión Inicial</t>
  </si>
  <si>
    <t>Costos Operativos Anuales</t>
  </si>
  <si>
    <t>Beneficios Anuales</t>
  </si>
  <si>
    <t>Beneficio Neto Anual</t>
  </si>
  <si>
    <t>ROI (%)</t>
  </si>
  <si>
    <t>Payback (Periodo de Recuperación en años)</t>
  </si>
  <si>
    <t>1. Costos Iniciales de Inversión</t>
  </si>
  <si>
    <t>Beneficio</t>
  </si>
  <si>
    <t>Reducción de uso de papel y archivos físicos</t>
  </si>
  <si>
    <t>3. Beneficios Esperados Anuales</t>
  </si>
  <si>
    <t>Total Beneficios/año</t>
  </si>
  <si>
    <t>Total Costos Operativos/año</t>
  </si>
  <si>
    <t>Total Inversión Inicial</t>
  </si>
  <si>
    <t>Evaluación Económica</t>
  </si>
  <si>
    <r>
      <rPr>
        <b/>
        <sz val="11"/>
        <color theme="1"/>
        <rFont val="Calibri"/>
        <family val="2"/>
        <scheme val="minor"/>
      </rPr>
      <t xml:space="preserve">Nota: </t>
    </r>
    <r>
      <rPr>
        <sz val="11"/>
        <color theme="1"/>
        <rFont val="Calibri"/>
        <family val="2"/>
        <scheme val="minor"/>
      </rPr>
      <t>Se colocan datos hipotéticos para ejemplificar lo requerido para una Evaluación Económica</t>
    </r>
  </si>
  <si>
    <t xml:space="preserve"> Cálculo de Factibilidad Económica</t>
  </si>
  <si>
    <t>Caso: Creacion de sistema intermediario operativo para empresa de logistica y eventos</t>
  </si>
  <si>
    <t>2. Costos Operativos Anuales</t>
  </si>
  <si>
    <t>Desarrollo del sistema</t>
  </si>
  <si>
    <t>Monto (USD)</t>
  </si>
  <si>
    <t>Servidor en la nube</t>
  </si>
  <si>
    <t>Dominio Web</t>
  </si>
  <si>
    <t>Certificado SSL</t>
  </si>
  <si>
    <t>Capacitacion Inicial</t>
  </si>
  <si>
    <t>Configuracion y pruebas piloto</t>
  </si>
  <si>
    <t>Hosting anual</t>
  </si>
  <si>
    <t>Soporte y mantenimiento tecnico</t>
  </si>
  <si>
    <t>Renovacion de dominio y seguridad SSL</t>
  </si>
  <si>
    <t>Respaldo y almacenamiento</t>
  </si>
  <si>
    <t>Ahorro (USD)</t>
  </si>
  <si>
    <t>Ahorro de tiempo administrativo</t>
  </si>
  <si>
    <t>Reduccion de errores y retrabajos</t>
  </si>
  <si>
    <t>Mejora en eficiencia operativa</t>
  </si>
  <si>
    <t>USD-&gt;MXN</t>
  </si>
  <si>
    <t>Al 04/03/2026 (March 4th 2026) 1 USD = 17.59 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</si>
</sst>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\-&quot;$&quot;#,##0"/>
    <numFmt numFmtId="165" formatCode="_-&quot;$&quot;* #,##0.00_-;\-&quot;$&quot;* #,##0.00_-;_-&quot;$&quot;* &quot;-&quot;??_-;_-@_-"/>
    <numFmt numFmtId="166" formatCode="&quot;$&quot;#,##0.00"/>
    <numFmt numFmtId="167" formatCode="&quot;$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5" fillId="0" borderId="0" applyFont="0" applyFill="0" applyBorder="0" applyAlignment="0" applyProtection="0"/>
  </cellStyleXfs>
  <cellXfs count="24">
    <xf numFmtId="0" fontId="0" fillId="0" borderId="0" xfId="0"/>
    <xf numFmtId="166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0" fillId="5" borderId="0" xfId="0" applyFill="1" applyAlignment="1">
      <alignment vertical="center"/>
    </xf>
    <xf numFmtId="164" fontId="0" fillId="0" borderId="0" xfId="0" applyNumberFormat="1"/>
    <xf numFmtId="0" fontId="3" fillId="2" borderId="2" xfId="0" applyFont="1" applyFill="1" applyBorder="1" applyAlignment="1">
      <alignment horizontal="center"/>
    </xf>
    <xf numFmtId="167" fontId="1" fillId="2" borderId="1" xfId="0" applyNumberFormat="1" applyFont="1" applyFill="1" applyBorder="1" applyAlignment="1">
      <alignment horizontal="right"/>
    </xf>
    <xf numFmtId="167" fontId="0" fillId="0" borderId="1" xfId="0" applyNumberFormat="1" applyBorder="1"/>
    <xf numFmtId="167" fontId="1" fillId="3" borderId="1" xfId="0" applyNumberFormat="1" applyFont="1" applyFill="1" applyBorder="1"/>
    <xf numFmtId="167" fontId="3" fillId="2" borderId="3" xfId="0" applyNumberFormat="1" applyFont="1" applyFill="1" applyBorder="1" applyAlignment="1">
      <alignment horizontal="center"/>
    </xf>
    <xf numFmtId="167" fontId="0" fillId="0" borderId="1" xfId="1" applyNumberFormat="1" applyFont="1" applyBorder="1"/>
    <xf numFmtId="167" fontId="0" fillId="0" borderId="0" xfId="0" applyNumberForma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4" fillId="4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Análisis Financiero del Proyecto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'Factibilidad Económica'!$A$7:$A$8</c:f>
              <c:strCache>
                <c:ptCount val="2"/>
                <c:pt idx="0">
                  <c:v>ROI (%)</c:v>
                </c:pt>
                <c:pt idx="1">
                  <c:v>Payback (Periodo de Recuperación en años)</c:v>
                </c:pt>
              </c:strCache>
            </c:strRef>
          </c:cat>
          <c:val>
            <c:numRef>
              <c:f>'Factibilidad Económica'!$B$7:$B$8</c:f>
              <c:numCache>
                <c:formatCode>General</c:formatCode>
                <c:ptCount val="2"/>
                <c:pt idx="0">
                  <c:v>1267.1232876712329</c:v>
                </c:pt>
                <c:pt idx="1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6-4E6D-A1FA-31BC7CB22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Indicadores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%</a:t>
                </a:r>
                <a:r>
                  <a:rPr lang="es-MX" baseline="0"/>
                  <a:t> / Años</a:t>
                </a: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1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7315200" cy="49758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236220</xdr:colOff>
      <xdr:row>6</xdr:row>
      <xdr:rowOff>72391</xdr:rowOff>
    </xdr:from>
    <xdr:ext cx="2659380" cy="3314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254BCC74-A272-264C-1087-2733DC967442}"/>
                </a:ext>
              </a:extLst>
            </xdr:cNvPr>
            <xdr:cNvSpPr txBox="1"/>
          </xdr:nvSpPr>
          <xdr:spPr>
            <a:xfrm>
              <a:off x="2651760" y="1238251"/>
              <a:ext cx="2659380" cy="3314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MX" sz="1200" b="0" i="1">
                      <a:latin typeface="Cambria Math" panose="02040503050406030204" pitchFamily="18" charset="0"/>
                    </a:rPr>
                    <m:t>𝑅𝑂𝐼</m:t>
                  </m:r>
                  <m:r>
                    <a:rPr lang="es-MX" sz="12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MX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𝐵𝑒𝑛𝑒𝑓𝑖𝑐𝑖𝑜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𝑁𝑒𝑡𝑜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𝐴𝑛𝑢𝑎𝑙</m:t>
                      </m:r>
                    </m:num>
                    <m:den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𝐼𝑛𝑣𝑒𝑟𝑠𝑖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ó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𝑛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𝐼𝑛𝑖𝑐𝑖𝑎𝑙</m:t>
                      </m:r>
                    </m:den>
                  </m:f>
                  <m:r>
                    <a:rPr lang="es-MX" sz="1200" b="0" i="1">
                      <a:latin typeface="Cambria Math" panose="02040503050406030204" pitchFamily="18" charset="0"/>
                    </a:rPr>
                    <m:t>  </m:t>
                  </m:r>
                </m:oMath>
              </a14:m>
              <a:r>
                <a:rPr lang="es-MX" sz="1200" b="0"/>
                <a:t>x 100</a:t>
              </a:r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254BCC74-A272-264C-1087-2733DC967442}"/>
                </a:ext>
              </a:extLst>
            </xdr:cNvPr>
            <xdr:cNvSpPr txBox="1"/>
          </xdr:nvSpPr>
          <xdr:spPr>
            <a:xfrm>
              <a:off x="2651760" y="1238251"/>
              <a:ext cx="2659380" cy="3314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</a:rPr>
                <a:t>𝑅𝑂𝐼=(𝐵𝑒𝑛𝑒𝑓𝑖𝑐𝑖𝑜 𝑁𝑒𝑡𝑜 𝐴𝑛𝑢𝑎𝑙)/(𝐼𝑛𝑣𝑒𝑟𝑠𝑖ó𝑛 𝐼𝑛𝑖𝑐𝑖𝑎𝑙)   </a:t>
              </a:r>
              <a:r>
                <a:rPr lang="es-MX" sz="1200" b="0"/>
                <a:t>x 100</a:t>
              </a:r>
            </a:p>
            <a:p>
              <a:endParaRPr lang="es-MX" sz="1100"/>
            </a:p>
          </xdr:txBody>
        </xdr:sp>
      </mc:Fallback>
    </mc:AlternateContent>
    <xdr:clientData/>
  </xdr:oneCellAnchor>
  <xdr:oneCellAnchor>
    <xdr:from>
      <xdr:col>2</xdr:col>
      <xdr:colOff>91440</xdr:colOff>
      <xdr:row>5</xdr:row>
      <xdr:rowOff>102870</xdr:rowOff>
    </xdr:from>
    <xdr:ext cx="3802258" cy="1565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473891EB-E9CE-636B-0A86-739B37951374}"/>
                </a:ext>
              </a:extLst>
            </xdr:cNvPr>
            <xdr:cNvSpPr txBox="1"/>
          </xdr:nvSpPr>
          <xdr:spPr>
            <a:xfrm>
              <a:off x="2506980" y="834390"/>
              <a:ext cx="3802258" cy="1565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000" b="0" i="1">
                        <a:latin typeface="Cambria Math" panose="02040503050406030204" pitchFamily="18" charset="0"/>
                      </a:rPr>
                      <m:t>𝐵𝑒𝑛𝑒𝑓𝑖𝑐𝑖𝑜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𝑁𝑒𝑡𝑜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𝐴𝑛𝑢𝑎𝑙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𝐵𝑒𝑛𝑒𝑓𝑖𝑐𝑖𝑜𝑠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𝐴𝑛𝑢𝑎𝑙𝑒𝑠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 −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𝐶𝑜𝑠𝑡𝑜𝑠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𝑂𝑝𝑒𝑟𝑎𝑡𝑖𝑣𝑜𝑠</m:t>
                    </m:r>
                  </m:oMath>
                </m:oMathPara>
              </a14:m>
              <a:endParaRPr lang="es-MX" sz="10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473891EB-E9CE-636B-0A86-739B37951374}"/>
                </a:ext>
              </a:extLst>
            </xdr:cNvPr>
            <xdr:cNvSpPr txBox="1"/>
          </xdr:nvSpPr>
          <xdr:spPr>
            <a:xfrm>
              <a:off x="2506980" y="834390"/>
              <a:ext cx="3802258" cy="1565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000" b="0" i="0">
                  <a:latin typeface="Cambria Math" panose="02040503050406030204" pitchFamily="18" charset="0"/>
                </a:rPr>
                <a:t>𝐵𝑒𝑛𝑒𝑓𝑖𝑐𝑖𝑜 𝑁𝑒𝑡𝑜 𝐴𝑛𝑢𝑎𝑙=𝐵𝑒𝑛𝑒𝑓𝑖𝑐𝑖𝑜𝑠 𝐴𝑛𝑢𝑎𝑙𝑒𝑠 −𝐶𝑜𝑠𝑡𝑜𝑠 𝑂𝑝𝑒𝑟𝑎𝑡𝑖𝑣𝑜𝑠</a:t>
              </a:r>
              <a:endParaRPr lang="es-MX" sz="1000"/>
            </a:p>
          </xdr:txBody>
        </xdr:sp>
      </mc:Fallback>
    </mc:AlternateContent>
    <xdr:clientData/>
  </xdr:oneCellAnchor>
  <xdr:oneCellAnchor>
    <xdr:from>
      <xdr:col>2</xdr:col>
      <xdr:colOff>167640</xdr:colOff>
      <xdr:row>7</xdr:row>
      <xdr:rowOff>91440</xdr:rowOff>
    </xdr:from>
    <xdr:ext cx="2034540" cy="3733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2B6D2BDD-7855-4A42-8908-CA1F21106A4A}"/>
                </a:ext>
              </a:extLst>
            </xdr:cNvPr>
            <xdr:cNvSpPr txBox="1"/>
          </xdr:nvSpPr>
          <xdr:spPr>
            <a:xfrm>
              <a:off x="2583180" y="1714500"/>
              <a:ext cx="2034540" cy="3733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200" b="0" i="1"/>
                <a:t>Payback</a:t>
              </a:r>
              <a:r>
                <a:rPr lang="es-MX" sz="1200" b="0"/>
                <a:t> </a:t>
              </a:r>
              <a14:m>
                <m:oMath xmlns:m="http://schemas.openxmlformats.org/officeDocument/2006/math">
                  <m:r>
                    <a:rPr lang="es-MX" sz="12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MX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𝐼𝑛𝑣𝑒𝑟𝑠𝑖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ó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𝑛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𝐼𝑛𝑖𝑐𝑖𝑎𝑙</m:t>
                      </m:r>
                    </m:num>
                    <m:den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𝐵𝑒𝑛𝑒𝑓𝑖𝑐𝑖𝑜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𝑁𝑒𝑡𝑜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𝐴𝑛𝑢𝑎𝑙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</m:den>
                  </m:f>
                  <m:r>
                    <a:rPr lang="es-MX" sz="1200" b="0" i="1">
                      <a:latin typeface="Cambria Math" panose="02040503050406030204" pitchFamily="18" charset="0"/>
                    </a:rPr>
                    <m:t>  </m:t>
                  </m:r>
                </m:oMath>
              </a14:m>
              <a:endParaRPr lang="es-MX" sz="1200" b="0"/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2B6D2BDD-7855-4A42-8908-CA1F21106A4A}"/>
                </a:ext>
              </a:extLst>
            </xdr:cNvPr>
            <xdr:cNvSpPr txBox="1"/>
          </xdr:nvSpPr>
          <xdr:spPr>
            <a:xfrm>
              <a:off x="2583180" y="1714500"/>
              <a:ext cx="2034540" cy="3733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200" b="0" i="1"/>
                <a:t>Payback</a:t>
              </a:r>
              <a:r>
                <a:rPr lang="es-MX" sz="1200" b="0"/>
                <a:t> </a:t>
              </a:r>
              <a:r>
                <a:rPr lang="es-MX" sz="1200" b="0" i="0">
                  <a:latin typeface="Cambria Math" panose="02040503050406030204" pitchFamily="18" charset="0"/>
                </a:rPr>
                <a:t>=(𝐼𝑛𝑣𝑒𝑟𝑠𝑖ó𝑛 𝐼𝑛𝑖𝑐𝑖𝑎𝑙)/(𝐵𝑒𝑛𝑒𝑓𝑖𝑐𝑖𝑜 𝑁𝑒𝑡𝑜 𝐴𝑛𝑢𝑎𝑙 )   </a:t>
              </a:r>
              <a:endParaRPr lang="es-MX" sz="1200" b="0"/>
            </a:p>
            <a:p>
              <a:endParaRPr lang="es-MX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9F50-19A5-4F7C-ADA3-1478A03A3412}">
  <dimension ref="B2:E29"/>
  <sheetViews>
    <sheetView tabSelected="1" topLeftCell="A3" zoomScaleNormal="100" workbookViewId="0">
      <selection activeCell="D15" sqref="D15"/>
    </sheetView>
  </sheetViews>
  <sheetFormatPr baseColWidth="10" defaultColWidth="11.5" defaultRowHeight="15" x14ac:dyDescent="0.2"/>
  <cols>
    <col min="1" max="1" width="2.33203125" customWidth="1"/>
    <col min="2" max="2" width="35.1640625" customWidth="1"/>
    <col min="3" max="3" width="19.83203125" customWidth="1"/>
    <col min="5" max="5" width="81.5" bestFit="1" customWidth="1"/>
  </cols>
  <sheetData>
    <row r="2" spans="2:5" ht="40.25" customHeight="1" x14ac:dyDescent="0.2">
      <c r="B2" s="22" t="s">
        <v>17</v>
      </c>
      <c r="C2" s="22"/>
      <c r="E2" s="11" t="s">
        <v>15</v>
      </c>
    </row>
    <row r="3" spans="2:5" ht="20.5" customHeight="1" x14ac:dyDescent="0.2">
      <c r="B3" s="21" t="s">
        <v>16</v>
      </c>
      <c r="C3" s="21"/>
    </row>
    <row r="4" spans="2:5" ht="19" x14ac:dyDescent="0.25">
      <c r="B4" s="20" t="s">
        <v>7</v>
      </c>
      <c r="C4" s="20"/>
    </row>
    <row r="5" spans="2:5" x14ac:dyDescent="0.2">
      <c r="B5" s="8" t="s">
        <v>0</v>
      </c>
      <c r="C5" s="14" t="s">
        <v>20</v>
      </c>
      <c r="D5" s="14" t="s">
        <v>34</v>
      </c>
      <c r="E5" t="s">
        <v>35</v>
      </c>
    </row>
    <row r="6" spans="2:5" x14ac:dyDescent="0.2">
      <c r="B6" s="9" t="s">
        <v>19</v>
      </c>
      <c r="C6" s="15">
        <v>0</v>
      </c>
      <c r="D6" s="15">
        <f>C6*17.59</f>
        <v>0</v>
      </c>
    </row>
    <row r="7" spans="2:5" x14ac:dyDescent="0.2">
      <c r="B7" s="9" t="s">
        <v>21</v>
      </c>
      <c r="C7" s="15">
        <v>500</v>
      </c>
      <c r="D7" s="15">
        <f t="shared" ref="D7:D12" si="0">C7*17.59</f>
        <v>8795</v>
      </c>
    </row>
    <row r="8" spans="2:5" x14ac:dyDescent="0.2">
      <c r="B8" s="9" t="s">
        <v>22</v>
      </c>
      <c r="C8" s="15">
        <v>20</v>
      </c>
      <c r="D8" s="15">
        <f t="shared" si="0"/>
        <v>351.8</v>
      </c>
    </row>
    <row r="9" spans="2:5" x14ac:dyDescent="0.2">
      <c r="B9" s="9" t="s">
        <v>23</v>
      </c>
      <c r="C9" s="15">
        <v>100</v>
      </c>
      <c r="D9" s="15">
        <f t="shared" si="0"/>
        <v>1759</v>
      </c>
    </row>
    <row r="10" spans="2:5" x14ac:dyDescent="0.2">
      <c r="B10" s="9" t="s">
        <v>24</v>
      </c>
      <c r="C10" s="15">
        <v>1500</v>
      </c>
      <c r="D10" s="15">
        <f t="shared" si="0"/>
        <v>26385</v>
      </c>
    </row>
    <row r="11" spans="2:5" x14ac:dyDescent="0.2">
      <c r="B11" s="9" t="s">
        <v>25</v>
      </c>
      <c r="C11" s="15">
        <v>800</v>
      </c>
      <c r="D11" s="15">
        <f t="shared" si="0"/>
        <v>14072</v>
      </c>
    </row>
    <row r="12" spans="2:5" x14ac:dyDescent="0.2">
      <c r="B12" s="10" t="s">
        <v>13</v>
      </c>
      <c r="C12" s="16">
        <f>SUM(C6:C11)</f>
        <v>2920</v>
      </c>
      <c r="D12" s="16">
        <f t="shared" si="0"/>
        <v>51362.8</v>
      </c>
    </row>
    <row r="13" spans="2:5" ht="19" x14ac:dyDescent="0.25">
      <c r="B13" s="13" t="s">
        <v>18</v>
      </c>
      <c r="C13" s="17"/>
    </row>
    <row r="14" spans="2:5" x14ac:dyDescent="0.2">
      <c r="B14" s="8" t="s">
        <v>0</v>
      </c>
      <c r="C14" s="14" t="s">
        <v>20</v>
      </c>
      <c r="D14" s="14" t="s">
        <v>34</v>
      </c>
    </row>
    <row r="15" spans="2:5" x14ac:dyDescent="0.2">
      <c r="B15" s="9" t="s">
        <v>26</v>
      </c>
      <c r="C15" s="18">
        <v>1200</v>
      </c>
      <c r="D15" s="15">
        <f>C15*17.59</f>
        <v>21108</v>
      </c>
    </row>
    <row r="16" spans="2:5" x14ac:dyDescent="0.2">
      <c r="B16" s="9" t="s">
        <v>27</v>
      </c>
      <c r="C16" s="18">
        <v>3000</v>
      </c>
      <c r="D16" s="15">
        <f t="shared" ref="D16:D25" si="1">C16*17.59</f>
        <v>52770</v>
      </c>
    </row>
    <row r="17" spans="2:4" x14ac:dyDescent="0.2">
      <c r="B17" s="9" t="s">
        <v>28</v>
      </c>
      <c r="C17" s="18">
        <v>150</v>
      </c>
      <c r="D17" s="15">
        <f t="shared" si="1"/>
        <v>2638.5</v>
      </c>
    </row>
    <row r="18" spans="2:4" x14ac:dyDescent="0.2">
      <c r="B18" s="9" t="s">
        <v>29</v>
      </c>
      <c r="C18" s="18">
        <v>650</v>
      </c>
      <c r="D18" s="15">
        <f t="shared" si="1"/>
        <v>11433.5</v>
      </c>
    </row>
    <row r="19" spans="2:4" x14ac:dyDescent="0.2">
      <c r="B19" s="10" t="s">
        <v>12</v>
      </c>
      <c r="C19" s="16">
        <f>SUM(C15:C18)</f>
        <v>5000</v>
      </c>
      <c r="D19" s="16">
        <f t="shared" si="1"/>
        <v>87950</v>
      </c>
    </row>
    <row r="20" spans="2:4" ht="19" x14ac:dyDescent="0.25">
      <c r="B20" s="13" t="s">
        <v>10</v>
      </c>
      <c r="C20" s="17"/>
      <c r="D20" s="19"/>
    </row>
    <row r="21" spans="2:4" x14ac:dyDescent="0.2">
      <c r="B21" s="8" t="s">
        <v>8</v>
      </c>
      <c r="C21" s="14" t="s">
        <v>30</v>
      </c>
      <c r="D21" s="14" t="s">
        <v>34</v>
      </c>
    </row>
    <row r="22" spans="2:4" x14ac:dyDescent="0.2">
      <c r="B22" s="9" t="s">
        <v>9</v>
      </c>
      <c r="C22" s="15">
        <v>6000</v>
      </c>
      <c r="D22" s="15">
        <f>C22*17.59</f>
        <v>105540</v>
      </c>
    </row>
    <row r="23" spans="2:4" x14ac:dyDescent="0.2">
      <c r="B23" s="9" t="s">
        <v>31</v>
      </c>
      <c r="C23" s="15">
        <v>18000</v>
      </c>
      <c r="D23" s="15">
        <f t="shared" si="1"/>
        <v>316620</v>
      </c>
    </row>
    <row r="24" spans="2:4" x14ac:dyDescent="0.2">
      <c r="B24" s="9" t="s">
        <v>32</v>
      </c>
      <c r="C24" s="15">
        <v>10000</v>
      </c>
      <c r="D24" s="15">
        <f t="shared" si="1"/>
        <v>175900</v>
      </c>
    </row>
    <row r="25" spans="2:4" x14ac:dyDescent="0.2">
      <c r="B25" s="9" t="s">
        <v>33</v>
      </c>
      <c r="C25" s="15">
        <v>8000</v>
      </c>
      <c r="D25" s="15">
        <f t="shared" si="1"/>
        <v>140720</v>
      </c>
    </row>
    <row r="26" spans="2:4" x14ac:dyDescent="0.2">
      <c r="B26" s="10" t="s">
        <v>11</v>
      </c>
      <c r="C26" s="16">
        <f ca="1">SUM(C22:C29)</f>
        <v>42000</v>
      </c>
      <c r="D26" s="16">
        <f>42000*17.59</f>
        <v>738780</v>
      </c>
    </row>
    <row r="28" spans="2:4" x14ac:dyDescent="0.2">
      <c r="C28" s="12"/>
    </row>
    <row r="29" spans="2:4" x14ac:dyDescent="0.2">
      <c r="C29" s="12"/>
    </row>
  </sheetData>
  <mergeCells count="3">
    <mergeCell ref="B4:C4"/>
    <mergeCell ref="B3:C3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zoomScale="89" zoomScaleNormal="89" workbookViewId="0">
      <selection activeCell="C14" sqref="C14"/>
    </sheetView>
  </sheetViews>
  <sheetFormatPr baseColWidth="10" defaultColWidth="8.83203125" defaultRowHeight="15" x14ac:dyDescent="0.2"/>
  <cols>
    <col min="1" max="1" width="23.1640625" customWidth="1"/>
    <col min="2" max="2" width="12.1640625" bestFit="1" customWidth="1"/>
    <col min="3" max="3" width="60.5" customWidth="1"/>
  </cols>
  <sheetData>
    <row r="1" spans="1:3" ht="19" x14ac:dyDescent="0.25">
      <c r="A1" s="23" t="s">
        <v>14</v>
      </c>
      <c r="B1" s="23"/>
      <c r="C1" s="23"/>
    </row>
    <row r="2" spans="1:3" x14ac:dyDescent="0.2">
      <c r="A2" s="2" t="s">
        <v>0</v>
      </c>
      <c r="B2" s="2" t="s">
        <v>20</v>
      </c>
    </row>
    <row r="3" spans="1:3" x14ac:dyDescent="0.2">
      <c r="A3" t="s">
        <v>1</v>
      </c>
      <c r="B3" s="1">
        <f>DatosParaEvaluacion!C12</f>
        <v>2920</v>
      </c>
    </row>
    <row r="4" spans="1:3" x14ac:dyDescent="0.2">
      <c r="A4" t="s">
        <v>2</v>
      </c>
      <c r="B4" s="1">
        <f>DatosParaEvaluacion!C19</f>
        <v>5000</v>
      </c>
    </row>
    <row r="5" spans="1:3" x14ac:dyDescent="0.2">
      <c r="A5" t="s">
        <v>3</v>
      </c>
      <c r="B5" s="1">
        <f ca="1">DatosParaEvaluacion!C26</f>
        <v>42000</v>
      </c>
    </row>
    <row r="6" spans="1:3" ht="34.25" customHeight="1" x14ac:dyDescent="0.2">
      <c r="A6" s="5" t="s">
        <v>4</v>
      </c>
      <c r="B6" s="6">
        <f ca="1">B5-B4</f>
        <v>37000</v>
      </c>
      <c r="C6" s="4"/>
    </row>
    <row r="7" spans="1:3" ht="36" customHeight="1" x14ac:dyDescent="0.2">
      <c r="A7" s="3" t="s">
        <v>5</v>
      </c>
      <c r="B7" s="3">
        <f ca="1">(B6/B3)*100</f>
        <v>1267.1232876712329</v>
      </c>
    </row>
    <row r="8" spans="1:3" ht="45.5" customHeight="1" x14ac:dyDescent="0.2">
      <c r="A8" s="7" t="s">
        <v>6</v>
      </c>
      <c r="B8" s="3">
        <f ca="1">ROUND(B3/B6,2)</f>
        <v>0.08</v>
      </c>
    </row>
  </sheetData>
  <mergeCells count="1">
    <mergeCell ref="A1:C1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A8207ABBE982458260A6C59AC50395" ma:contentTypeVersion="6" ma:contentTypeDescription="Crear nuevo documento." ma:contentTypeScope="" ma:versionID="8778d49f0a2bcfd0c925df926393de03">
  <xsd:schema xmlns:xsd="http://www.w3.org/2001/XMLSchema" xmlns:xs="http://www.w3.org/2001/XMLSchema" xmlns:p="http://schemas.microsoft.com/office/2006/metadata/properties" xmlns:ns3="78011bc5-0d76-412f-ac53-72b1681b4227" targetNamespace="http://schemas.microsoft.com/office/2006/metadata/properties" ma:root="true" ma:fieldsID="51fea4191a3408adb7dff20baf26c1c7" ns3:_="">
    <xsd:import namespace="78011bc5-0d76-412f-ac53-72b1681b422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11bc5-0d76-412f-ac53-72b1681b422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011bc5-0d76-412f-ac53-72b1681b4227" xsi:nil="true"/>
  </documentManagement>
</p:properties>
</file>

<file path=customXml/itemProps1.xml><?xml version="1.0" encoding="utf-8"?>
<ds:datastoreItem xmlns:ds="http://schemas.openxmlformats.org/officeDocument/2006/customXml" ds:itemID="{9CE57AAC-467A-49BE-9C07-1A756985B3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011bc5-0d76-412f-ac53-72b1681b42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EC0D0C-9B29-49C3-B08C-F10C9C41DA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BDAD42-A3E7-48B1-85E1-12B1F61E4CA5}">
  <ds:schemaRefs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78011bc5-0d76-412f-ac53-72b1681b4227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DatosParaEvaluacion</vt:lpstr>
      <vt:lpstr>Factibilidad Económica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Cruz Mora</cp:lastModifiedBy>
  <dcterms:created xsi:type="dcterms:W3CDTF">2025-08-22T04:39:21Z</dcterms:created>
  <dcterms:modified xsi:type="dcterms:W3CDTF">2026-03-10T15:01:57Z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0x01010042A8207ABBE982458260A6C59AC50395</vt:lpwstr>
  </property>
</Properties>
</file>